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条件" sheetId="1" state="visible" r:id="rId1"/>
    <sheet xmlns:r="http://schemas.openxmlformats.org/officeDocument/2006/relationships" name="财务模型" sheetId="2" state="visible" r:id="rId2"/>
    <sheet xmlns:r="http://schemas.openxmlformats.org/officeDocument/2006/relationships" name="估值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营收增长趋势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'财务模型'!B1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'财务模型'!$B$2</f>
            </numRef>
          </val>
        </ser>
        <ser>
          <idx val="1"/>
          <order val="1"/>
          <tx>
            <strRef>
              <f>'财务模型'!C1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'财务模型'!$C$2</f>
            </numRef>
          </val>
        </ser>
        <ser>
          <idx val="2"/>
          <order val="2"/>
          <tx>
            <strRef>
              <f>'财务模型'!D1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'财务模型'!$D$2</f>
            </numRef>
          </val>
        </ser>
        <ser>
          <idx val="3"/>
          <order val="3"/>
          <tx>
            <strRef>
              <f>'财务模型'!E1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'财务模型'!$E$2</f>
            </numRef>
          </val>
        </ser>
        <ser>
          <idx val="4"/>
          <order val="4"/>
          <tx>
            <strRef>
              <f>'财务模型'!F1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收入增长率(Y1)</t>
        </is>
      </c>
      <c r="B2" t="inlineStr">
        <is>
          <t>21%</t>
        </is>
      </c>
      <c r="C2" t="inlineStr">
        <is>
          <t>基于订单能见度</t>
        </is>
      </c>
    </row>
    <row r="3">
      <c r="A3" t="inlineStr">
        <is>
          <t>毛利率</t>
        </is>
      </c>
      <c r="B3" t="inlineStr">
        <is>
          <t>30%</t>
        </is>
      </c>
      <c r="C3" t="inlineStr">
        <is>
          <t>规模效应提升</t>
        </is>
      </c>
    </row>
    <row r="4">
      <c r="A4" t="inlineStr">
        <is>
          <t>销售费用率</t>
        </is>
      </c>
      <c r="B4" t="inlineStr">
        <is>
          <t>8%</t>
        </is>
      </c>
      <c r="C4" t="inlineStr">
        <is>
          <t>渠道扩张期</t>
        </is>
      </c>
    </row>
    <row r="5">
      <c r="A5" t="inlineStr">
        <is>
          <t>所得税率</t>
        </is>
      </c>
      <c r="B5" t="inlineStr">
        <is>
          <t>15%</t>
        </is>
      </c>
      <c r="C5" t="inlineStr">
        <is>
          <t>高新技术企业</t>
        </is>
      </c>
    </row>
    <row r="6">
      <c r="A6" t="inlineStr">
        <is>
          <t>WACC</t>
        </is>
      </c>
      <c r="B6" t="inlineStr">
        <is>
          <t>11.5%</t>
        </is>
      </c>
      <c r="C6" t="inlineStr">
        <is>
          <t>加权平均资本成本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利润表(亿元)</t>
        </is>
      </c>
      <c r="B1" t="inlineStr">
        <is>
          <t>2022A</t>
        </is>
      </c>
      <c r="C1" t="inlineStr">
        <is>
          <t>2023A</t>
        </is>
      </c>
      <c r="D1" t="inlineStr">
        <is>
          <t>2024E</t>
        </is>
      </c>
      <c r="E1" t="inlineStr">
        <is>
          <t>2025E</t>
        </is>
      </c>
      <c r="F1" t="inlineStr">
        <is>
          <t>2026E</t>
        </is>
      </c>
    </row>
    <row r="2">
      <c r="A2" t="inlineStr">
        <is>
          <t>营业收入</t>
        </is>
      </c>
      <c r="B2" t="n">
        <v>58.16</v>
      </c>
      <c r="C2" t="n">
        <v>68.58</v>
      </c>
      <c r="D2" t="n">
        <v>86.42</v>
      </c>
      <c r="E2" t="n">
        <v>100.18</v>
      </c>
      <c r="F2" t="n">
        <v>117.88</v>
      </c>
    </row>
    <row r="3">
      <c r="A3" t="inlineStr">
        <is>
          <t>营业成本</t>
        </is>
      </c>
      <c r="B3" t="n">
        <v>62.56</v>
      </c>
      <c r="C3" t="n">
        <v>68.01000000000001</v>
      </c>
      <c r="D3" t="n">
        <v>77.11</v>
      </c>
      <c r="E3" t="n">
        <v>75.81999999999999</v>
      </c>
      <c r="F3" t="n">
        <v>74.62</v>
      </c>
    </row>
    <row r="4">
      <c r="A4" t="inlineStr">
        <is>
          <t>毛利</t>
        </is>
      </c>
      <c r="B4" t="n">
        <v>10.59</v>
      </c>
      <c r="C4" t="n">
        <v>13.68</v>
      </c>
      <c r="D4" t="n">
        <v>18.64</v>
      </c>
      <c r="E4" t="n">
        <v>15.87</v>
      </c>
      <c r="F4" t="n">
        <v>16.61</v>
      </c>
    </row>
    <row r="5">
      <c r="A5" t="inlineStr">
        <is>
          <t>销售费用</t>
        </is>
      </c>
      <c r="B5" t="n">
        <v>65.34999999999999</v>
      </c>
      <c r="C5" t="n">
        <v>74.45999999999999</v>
      </c>
      <c r="D5" t="n">
        <v>78.62</v>
      </c>
      <c r="E5" t="n">
        <v>73.48</v>
      </c>
      <c r="F5" t="n">
        <v>78.45</v>
      </c>
    </row>
    <row r="6">
      <c r="A6" t="inlineStr">
        <is>
          <t>管理费用</t>
        </is>
      </c>
      <c r="B6" t="n">
        <v>54.53</v>
      </c>
      <c r="C6" t="n">
        <v>80.84999999999999</v>
      </c>
      <c r="D6" t="n">
        <v>77.84999999999999</v>
      </c>
      <c r="E6" t="n">
        <v>73.08</v>
      </c>
      <c r="F6" t="n">
        <v>72.01000000000001</v>
      </c>
    </row>
    <row r="7">
      <c r="A7" t="inlineStr">
        <is>
          <t>研发费用</t>
        </is>
      </c>
      <c r="B7" t="n">
        <v>58.81</v>
      </c>
      <c r="C7" t="n">
        <v>77.18000000000001</v>
      </c>
      <c r="D7" t="n">
        <v>71.77</v>
      </c>
      <c r="E7" t="n">
        <v>76.44</v>
      </c>
      <c r="F7" t="n">
        <v>74.94</v>
      </c>
    </row>
    <row r="8">
      <c r="A8" t="inlineStr">
        <is>
          <t>营业利润</t>
        </is>
      </c>
      <c r="B8" t="n">
        <v>12.81</v>
      </c>
      <c r="C8" t="n">
        <v>17.02</v>
      </c>
      <c r="D8" t="n">
        <v>8.15</v>
      </c>
      <c r="E8" t="n">
        <v>7.99</v>
      </c>
      <c r="F8" t="n">
        <v>9.470000000000001</v>
      </c>
    </row>
    <row r="9">
      <c r="A9" t="inlineStr">
        <is>
          <t>净利润</t>
        </is>
      </c>
      <c r="B9" t="n">
        <v>9.42</v>
      </c>
      <c r="C9" t="n">
        <v>17.02</v>
      </c>
      <c r="D9" t="n">
        <v>11.19</v>
      </c>
      <c r="E9" t="n">
        <v>8.539999999999999</v>
      </c>
      <c r="F9" t="n">
        <v>13.63</v>
      </c>
    </row>
    <row r="10">
      <c r="A10" t="inlineStr">
        <is>
          <t>EPS</t>
        </is>
      </c>
      <c r="B10" t="n">
        <v>66.17</v>
      </c>
      <c r="C10" t="n">
        <v>80.19</v>
      </c>
      <c r="D10" t="n">
        <v>76.67</v>
      </c>
      <c r="E10" t="n">
        <v>77.91</v>
      </c>
      <c r="F10" t="n">
        <v>73.77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估值方法</t>
        </is>
      </c>
      <c r="B1" t="inlineStr">
        <is>
          <t>估值(亿元)</t>
        </is>
      </c>
      <c r="C1" t="inlineStr">
        <is>
          <t>权重</t>
        </is>
      </c>
      <c r="D1" t="inlineStr">
        <is>
          <t>加权估值</t>
        </is>
      </c>
    </row>
    <row r="2">
      <c r="A2" t="inlineStr">
        <is>
          <t>PE法</t>
        </is>
      </c>
      <c r="B2" t="n">
        <v>213.5</v>
      </c>
      <c r="C2" t="inlineStr">
        <is>
          <t>30%</t>
        </is>
      </c>
      <c r="D2" t="n">
        <v>64.05</v>
      </c>
    </row>
    <row r="3">
      <c r="A3" t="inlineStr">
        <is>
          <t>PB法</t>
        </is>
      </c>
      <c r="B3" t="n">
        <v>262.71</v>
      </c>
      <c r="C3" t="inlineStr">
        <is>
          <t>20%</t>
        </is>
      </c>
      <c r="D3" t="n">
        <v>52.54</v>
      </c>
    </row>
    <row r="4">
      <c r="A4" t="inlineStr">
        <is>
          <t>EV/EBITDA</t>
        </is>
      </c>
      <c r="B4" t="n">
        <v>303.07</v>
      </c>
      <c r="C4" t="inlineStr">
        <is>
          <t>20%</t>
        </is>
      </c>
      <c r="D4" t="n">
        <v>60.61</v>
      </c>
    </row>
    <row r="5">
      <c r="A5" t="inlineStr">
        <is>
          <t>DCF</t>
        </is>
      </c>
      <c r="B5" t="n">
        <v>244.59</v>
      </c>
      <c r="C5" t="inlineStr">
        <is>
          <t>20%</t>
        </is>
      </c>
      <c r="D5" t="n">
        <v>48.92</v>
      </c>
    </row>
    <row r="6">
      <c r="A6" t="inlineStr">
        <is>
          <t>分部估值</t>
        </is>
      </c>
      <c r="B6" t="n">
        <v>300.45</v>
      </c>
      <c r="C6" t="inlineStr">
        <is>
          <t>10%</t>
        </is>
      </c>
      <c r="D6" t="n">
        <v>30.04</v>
      </c>
    </row>
    <row r="7">
      <c r="A7" t="inlineStr"/>
      <c r="B7" t="inlineStr"/>
      <c r="C7" t="inlineStr">
        <is>
          <t>合计</t>
        </is>
      </c>
      <c r="D7" t="n">
        <v>256.17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2026-04-04T11:13:44Z</dcterms:created>
  <dcterms:modified xmlns:dcterms="http://purl.org/dc/terms/" xmlns:xsi="http://www.w3.org/2001/XMLSchema-instance" xsi:type="dcterms:W3CDTF">2026-04-04T11:13:44Z</dcterms:modified>
</cp:coreProperties>
</file>